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deepdesk\docs\"/>
    </mc:Choice>
  </mc:AlternateContent>
  <xr:revisionPtr revIDLastSave="0" documentId="13_ncr:1_{E1DDA2A3-63C5-4207-B335-17DF21976DC1}" xr6:coauthVersionLast="47" xr6:coauthVersionMax="47" xr10:uidLastSave="{00000000-0000-0000-0000-000000000000}"/>
  <bookViews>
    <workbookView xWindow="0" yWindow="3210" windowWidth="19200" windowHeight="11170" xr2:uid="{00000000-000D-0000-FFFF-FFFF00000000}"/>
  </bookViews>
  <sheets>
    <sheet name="P&amp;L" sheetId="1" r:id="rId1"/>
    <sheet name="Cost Detai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E13" i="1" s="1"/>
  <c r="F13" i="1" s="1"/>
  <c r="E10" i="2"/>
  <c r="F9" i="2"/>
  <c r="F8" i="2"/>
  <c r="F7" i="2"/>
  <c r="F6" i="2"/>
  <c r="F10" i="2" s="1"/>
  <c r="E12" i="1" s="1"/>
  <c r="F12" i="1" s="1"/>
  <c r="D25" i="1"/>
  <c r="C25" i="1"/>
  <c r="D24" i="1"/>
  <c r="C24" i="1"/>
  <c r="D23" i="1"/>
  <c r="C23" i="1"/>
  <c r="F16" i="1"/>
  <c r="F15" i="1"/>
  <c r="C10" i="1"/>
  <c r="B10" i="1"/>
  <c r="F9" i="1"/>
  <c r="E8" i="1"/>
  <c r="D8" i="1"/>
  <c r="D10" i="1" s="1"/>
  <c r="C8" i="1"/>
  <c r="B8" i="1"/>
  <c r="F7" i="1"/>
  <c r="F8" i="1" l="1"/>
  <c r="F10" i="1"/>
  <c r="E10" i="1"/>
  <c r="E11" i="1" s="1"/>
  <c r="E14" i="1" s="1"/>
  <c r="E17" i="1" s="1"/>
  <c r="E23" i="1"/>
  <c r="E24" i="1"/>
  <c r="E25" i="1"/>
  <c r="C11" i="1"/>
  <c r="C14" i="1" s="1"/>
  <c r="C17" i="1" s="1"/>
  <c r="D11" i="1"/>
  <c r="D14" i="1" s="1"/>
  <c r="D17" i="1" s="1"/>
  <c r="B11" i="1"/>
  <c r="B14" i="1" l="1"/>
  <c r="F11" i="1"/>
  <c r="F14" i="1" l="1"/>
  <c r="B17" i="1"/>
  <c r="F17" i="1" s="1"/>
</calcChain>
</file>

<file path=xl/sharedStrings.xml><?xml version="1.0" encoding="utf-8"?>
<sst xmlns="http://schemas.openxmlformats.org/spreadsheetml/2006/main" count="61" uniqueCount="51">
  <si>
    <t>DeepDesk — Profit &amp; Loss (Build with Gemini XPRIZE, May 19 – Aug 17, 2026)</t>
  </si>
  <si>
    <t>All figures in USD. Business launched Aug 12, 2026. Blue cells = inputs to update as sales occur.</t>
  </si>
  <si>
    <t>FX assumption (KRW per USD)</t>
  </si>
  <si>
    <t>Source: market rate 2026-08, user to update at submission</t>
  </si>
  <si>
    <t>May 2026</t>
  </si>
  <si>
    <t>Jun 2026</t>
  </si>
  <si>
    <t>Jul 2026</t>
  </si>
  <si>
    <t>Aug 2026</t>
  </si>
  <si>
    <t>Total</t>
  </si>
  <si>
    <t>Gross revenue (KRW)</t>
  </si>
  <si>
    <t>Gross revenue (USD)</t>
  </si>
  <si>
    <t xml:space="preserve">  of which related-party (USD)</t>
  </si>
  <si>
    <t>Payment processing fees</t>
  </si>
  <si>
    <t>Net revenue</t>
  </si>
  <si>
    <t>COGS — LLM inference</t>
  </si>
  <si>
    <t>COGS — paid data (agent USDC)</t>
  </si>
  <si>
    <t>Gross profit</t>
  </si>
  <si>
    <t>Infra — Google Cloud Run/Build</t>
  </si>
  <si>
    <t>Marketing &amp; customer acquisition</t>
  </si>
  <si>
    <t>Net income</t>
  </si>
  <si>
    <t>Infra note: Cloud Run min-instance from Aug 12 (~$0.35/day, 512Mi always-on) + Cloud Build; Firestore within free tier. Estimate marked as input.</t>
  </si>
  <si>
    <t>Toss Payments fee rate</t>
  </si>
  <si>
    <t>Card widget standard rate incl. VAT (tosspayments.com pricing)</t>
  </si>
  <si>
    <t>Unit economics (per report, actuals)</t>
  </si>
  <si>
    <t>Tier</t>
  </si>
  <si>
    <t>Price (KRW)</t>
  </si>
  <si>
    <t>Price (USD)</t>
  </si>
  <si>
    <t>Avg LLM cost (USD)</t>
  </si>
  <si>
    <t>Gross margin</t>
  </si>
  <si>
    <t>light</t>
  </si>
  <si>
    <t>standard</t>
  </si>
  <si>
    <t>deep</t>
  </si>
  <si>
    <t>Legend: BLUE = input cells (update with actual sales) · BLACK = formulas · GREEN = links to Cost Detail sheet · YELLOW fill = key assumptions</t>
  </si>
  <si>
    <t>DeepDesk — Actual Run Cost Detail (hackathon period)</t>
  </si>
  <si>
    <t>Blended LLM token price (USD per 1M tokens)</t>
  </si>
  <si>
    <t>Assumption: mix of gemini-2.5-flash ($0.30/$2.50 per 1M in/out) and gemini-2.5-pro ($1.25/$10). $3/1M blended is conservative. Source: ai.google.dev/pricing (2026-08).</t>
  </si>
  <si>
    <t>Order ID</t>
  </si>
  <si>
    <t>Date (UTC)</t>
  </si>
  <si>
    <t>Status</t>
  </si>
  <si>
    <t>LLM tokens</t>
  </si>
  <si>
    <t>LLM cost (USD)</t>
  </si>
  <si>
    <t>Paid data USDC (testnet, $ real value)</t>
  </si>
  <si>
    <t>10565882</t>
  </si>
  <si>
    <t>2026-08-11</t>
  </si>
  <si>
    <t>done</t>
  </si>
  <si>
    <t>56cc04bc</t>
  </si>
  <si>
    <t>018ea42c</t>
  </si>
  <si>
    <t>f3949e85</t>
  </si>
  <si>
    <t>2026-08-12</t>
  </si>
  <si>
    <t>TOTAL</t>
  </si>
  <si>
    <t>Note: agent paid-data settlements run on Base Sepolia testnet USDC (no real monetary value in pilot); on-chain records: sepolia.basescan.org/address/0x6d721e3d036695e4be921af1b3e5d3a8502ff698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</si>
</sst>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.00;\(\$#,##0.00\);\-"/>
    <numFmt numFmtId="177" formatCode="0.0%"/>
  </numFmts>
  <fonts count="8" x14ac:knownFonts="1">
    <font>
      <sz val="11"/>
      <color theme="1"/>
      <name val="맑은 고딕"/>
      <family val="2"/>
      <scheme val="minor"/>
    </font>
    <font>
      <b/>
      <sz val="14"/>
      <name val="Arial"/>
    </font>
    <font>
      <b/>
      <sz val="11"/>
      <name val="Arial"/>
    </font>
    <font>
      <sz val="11"/>
      <color rgb="FF0000FF"/>
      <name val="Arial"/>
    </font>
    <font>
      <i/>
      <sz val="9"/>
      <name val="Arial"/>
    </font>
    <font>
      <sz val="11"/>
      <name val="Arial"/>
    </font>
    <font>
      <sz val="11"/>
      <color rgb="FF008000"/>
      <name val="Arial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3" fontId="3" fillId="2" borderId="0" xfId="0" applyNumberFormat="1" applyFont="1" applyFill="1"/>
    <xf numFmtId="0" fontId="2" fillId="3" borderId="0" xfId="0" applyFont="1" applyFill="1" applyAlignment="1">
      <alignment horizontal="center"/>
    </xf>
    <xf numFmtId="0" fontId="5" fillId="0" borderId="0" xfId="0" applyFont="1"/>
    <xf numFmtId="3" fontId="3" fillId="0" borderId="1" xfId="0" applyNumberFormat="1" applyFont="1" applyBorder="1"/>
    <xf numFmtId="3" fontId="2" fillId="0" borderId="1" xfId="0" applyNumberFormat="1" applyFont="1" applyBorder="1"/>
    <xf numFmtId="176" fontId="0" fillId="0" borderId="1" xfId="0" applyNumberFormat="1" applyBorder="1"/>
    <xf numFmtId="176" fontId="2" fillId="0" borderId="1" xfId="0" applyNumberFormat="1" applyFont="1" applyBorder="1"/>
    <xf numFmtId="176" fontId="3" fillId="0" borderId="1" xfId="0" applyNumberFormat="1" applyFont="1" applyBorder="1"/>
    <xf numFmtId="176" fontId="6" fillId="0" borderId="1" xfId="0" applyNumberFormat="1" applyFont="1" applyBorder="1"/>
    <xf numFmtId="177" fontId="3" fillId="2" borderId="0" xfId="0" applyNumberFormat="1" applyFont="1" applyFill="1"/>
    <xf numFmtId="0" fontId="2" fillId="3" borderId="0" xfId="0" applyFont="1" applyFill="1"/>
    <xf numFmtId="3" fontId="3" fillId="0" borderId="0" xfId="0" applyNumberFormat="1" applyFont="1"/>
    <xf numFmtId="176" fontId="0" fillId="0" borderId="0" xfId="0" applyNumberFormat="1"/>
    <xf numFmtId="176" fontId="6" fillId="0" borderId="0" xfId="0" applyNumberFormat="1" applyFont="1"/>
    <xf numFmtId="177" fontId="0" fillId="0" borderId="0" xfId="0" applyNumberFormat="1"/>
    <xf numFmtId="176" fontId="3" fillId="2" borderId="0" xfId="0" applyNumberFormat="1" applyFont="1" applyFill="1"/>
    <xf numFmtId="3" fontId="5" fillId="0" borderId="0" xfId="0" applyNumberFormat="1" applyFont="1"/>
    <xf numFmtId="176" fontId="5" fillId="0" borderId="0" xfId="0" applyNumberFormat="1" applyFont="1"/>
    <xf numFmtId="3" fontId="2" fillId="0" borderId="0" xfId="0" applyNumberFormat="1" applyFont="1"/>
    <xf numFmtId="176" fontId="2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/>
  </sheetViews>
  <sheetFormatPr defaultRowHeight="17" x14ac:dyDescent="0.45"/>
  <cols>
    <col min="1" max="1" width="34" customWidth="1"/>
    <col min="2" max="3" width="13" customWidth="1"/>
    <col min="4" max="4" width="16" customWidth="1"/>
    <col min="5" max="6" width="13" customWidth="1"/>
  </cols>
  <sheetData>
    <row r="1" spans="1:6" ht="18.5" x14ac:dyDescent="0.45">
      <c r="A1" s="1" t="s">
        <v>0</v>
      </c>
    </row>
    <row r="2" spans="1:6" x14ac:dyDescent="0.45">
      <c r="A2" s="2" t="s">
        <v>1</v>
      </c>
    </row>
    <row r="4" spans="1:6" x14ac:dyDescent="0.45">
      <c r="A4" s="3" t="s">
        <v>2</v>
      </c>
      <c r="B4" s="4">
        <v>1380</v>
      </c>
      <c r="C4" s="2" t="s">
        <v>3</v>
      </c>
    </row>
    <row r="6" spans="1:6" x14ac:dyDescent="0.45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spans="1:6" x14ac:dyDescent="0.45">
      <c r="A7" s="6" t="s">
        <v>9</v>
      </c>
      <c r="B7" s="7">
        <v>0</v>
      </c>
      <c r="C7" s="7">
        <v>0</v>
      </c>
      <c r="D7" s="7">
        <v>0</v>
      </c>
      <c r="E7" s="7">
        <v>0</v>
      </c>
      <c r="F7" s="8">
        <f t="shared" ref="F7:F17" si="0">SUM(B7:E7)</f>
        <v>0</v>
      </c>
    </row>
    <row r="8" spans="1:6" x14ac:dyDescent="0.45">
      <c r="A8" s="6" t="s">
        <v>10</v>
      </c>
      <c r="B8" s="9">
        <f>B7/$B$4</f>
        <v>0</v>
      </c>
      <c r="C8" s="9">
        <f>C7/$B$4</f>
        <v>0</v>
      </c>
      <c r="D8" s="9">
        <f>D7/$B$4</f>
        <v>0</v>
      </c>
      <c r="E8" s="9">
        <f>E7/$B$4</f>
        <v>0</v>
      </c>
      <c r="F8" s="10">
        <f t="shared" si="0"/>
        <v>0</v>
      </c>
    </row>
    <row r="9" spans="1:6" x14ac:dyDescent="0.45">
      <c r="A9" s="6" t="s">
        <v>11</v>
      </c>
      <c r="B9" s="11">
        <v>0</v>
      </c>
      <c r="C9" s="11">
        <v>0</v>
      </c>
      <c r="D9" s="11">
        <v>0</v>
      </c>
      <c r="E9" s="11">
        <v>0</v>
      </c>
      <c r="F9" s="10">
        <f t="shared" si="0"/>
        <v>0</v>
      </c>
    </row>
    <row r="10" spans="1:6" x14ac:dyDescent="0.45">
      <c r="A10" s="6" t="s">
        <v>12</v>
      </c>
      <c r="B10" s="9">
        <f>-B8*$B$20</f>
        <v>0</v>
      </c>
      <c r="C10" s="9">
        <f>-C8*$B$20</f>
        <v>0</v>
      </c>
      <c r="D10" s="9">
        <f>-D8*$B$20</f>
        <v>0</v>
      </c>
      <c r="E10" s="9">
        <f>-E8*$B$20</f>
        <v>0</v>
      </c>
      <c r="F10" s="10">
        <f t="shared" si="0"/>
        <v>0</v>
      </c>
    </row>
    <row r="11" spans="1:6" x14ac:dyDescent="0.45">
      <c r="A11" s="3" t="s">
        <v>13</v>
      </c>
      <c r="B11" s="9">
        <f>B8+B10</f>
        <v>0</v>
      </c>
      <c r="C11" s="9">
        <f>C8+C10</f>
        <v>0</v>
      </c>
      <c r="D11" s="9">
        <f>D8+D10</f>
        <v>0</v>
      </c>
      <c r="E11" s="9">
        <f>E8+E10</f>
        <v>0</v>
      </c>
      <c r="F11" s="10">
        <f t="shared" si="0"/>
        <v>0</v>
      </c>
    </row>
    <row r="12" spans="1:6" x14ac:dyDescent="0.45">
      <c r="A12" s="6" t="s">
        <v>14</v>
      </c>
      <c r="B12" s="9">
        <v>0</v>
      </c>
      <c r="C12" s="9">
        <v>0</v>
      </c>
      <c r="D12" s="9">
        <v>0</v>
      </c>
      <c r="E12" s="12">
        <f>-'Cost Detail'!F10</f>
        <v>-0.72813300000000003</v>
      </c>
      <c r="F12" s="10">
        <f t="shared" si="0"/>
        <v>-0.72813300000000003</v>
      </c>
    </row>
    <row r="13" spans="1:6" x14ac:dyDescent="0.45">
      <c r="A13" s="6" t="s">
        <v>15</v>
      </c>
      <c r="B13" s="9">
        <v>0</v>
      </c>
      <c r="C13" s="9">
        <v>0</v>
      </c>
      <c r="D13" s="9">
        <v>0</v>
      </c>
      <c r="E13" s="12">
        <f>-'Cost Detail'!G10</f>
        <v>0</v>
      </c>
      <c r="F13" s="10">
        <f t="shared" si="0"/>
        <v>0</v>
      </c>
    </row>
    <row r="14" spans="1:6" x14ac:dyDescent="0.45">
      <c r="A14" s="3" t="s">
        <v>16</v>
      </c>
      <c r="B14" s="9">
        <f>B11+B12+B13</f>
        <v>0</v>
      </c>
      <c r="C14" s="9">
        <f>C11+C12+C13</f>
        <v>0</v>
      </c>
      <c r="D14" s="9">
        <f>D11+D12+D13</f>
        <v>0</v>
      </c>
      <c r="E14" s="9">
        <f>E11+E12+E13</f>
        <v>-0.72813300000000003</v>
      </c>
      <c r="F14" s="10">
        <f t="shared" si="0"/>
        <v>-0.72813300000000003</v>
      </c>
    </row>
    <row r="15" spans="1:6" x14ac:dyDescent="0.45">
      <c r="A15" s="6" t="s">
        <v>17</v>
      </c>
      <c r="B15" s="9">
        <v>0</v>
      </c>
      <c r="C15" s="9">
        <v>0</v>
      </c>
      <c r="D15" s="9">
        <v>0</v>
      </c>
      <c r="E15" s="11">
        <v>-4</v>
      </c>
      <c r="F15" s="10">
        <f t="shared" si="0"/>
        <v>-4</v>
      </c>
    </row>
    <row r="16" spans="1:6" x14ac:dyDescent="0.45">
      <c r="A16" s="6" t="s">
        <v>18</v>
      </c>
      <c r="B16" s="11">
        <v>0</v>
      </c>
      <c r="C16" s="11">
        <v>0</v>
      </c>
      <c r="D16" s="11">
        <v>0</v>
      </c>
      <c r="E16" s="11">
        <v>0</v>
      </c>
      <c r="F16" s="10">
        <f t="shared" si="0"/>
        <v>0</v>
      </c>
    </row>
    <row r="17" spans="1:6" x14ac:dyDescent="0.45">
      <c r="A17" s="3" t="s">
        <v>19</v>
      </c>
      <c r="B17" s="9">
        <f>B14+B15+B16</f>
        <v>0</v>
      </c>
      <c r="C17" s="9">
        <f>C14+C15+C16</f>
        <v>0</v>
      </c>
      <c r="D17" s="9">
        <f>D14+D15+D16</f>
        <v>0</v>
      </c>
      <c r="E17" s="9">
        <f>E14+E15+E16</f>
        <v>-4.7281329999999997</v>
      </c>
      <c r="F17" s="10">
        <f t="shared" si="0"/>
        <v>-4.7281329999999997</v>
      </c>
    </row>
    <row r="19" spans="1:6" x14ac:dyDescent="0.45">
      <c r="A19" s="2" t="s">
        <v>20</v>
      </c>
    </row>
    <row r="20" spans="1:6" x14ac:dyDescent="0.45">
      <c r="A20" s="3" t="s">
        <v>21</v>
      </c>
      <c r="B20" s="13">
        <v>3.3000000000000002E-2</v>
      </c>
      <c r="C20" s="2" t="s">
        <v>22</v>
      </c>
    </row>
    <row r="21" spans="1:6" ht="18.5" x14ac:dyDescent="0.45">
      <c r="A21" s="1" t="s">
        <v>23</v>
      </c>
    </row>
    <row r="22" spans="1:6" x14ac:dyDescent="0.45">
      <c r="A22" s="14" t="s">
        <v>24</v>
      </c>
      <c r="B22" s="14" t="s">
        <v>25</v>
      </c>
      <c r="C22" s="14" t="s">
        <v>26</v>
      </c>
      <c r="D22" s="14" t="s">
        <v>27</v>
      </c>
      <c r="E22" s="14" t="s">
        <v>28</v>
      </c>
    </row>
    <row r="23" spans="1:6" x14ac:dyDescent="0.45">
      <c r="A23" s="6" t="s">
        <v>29</v>
      </c>
      <c r="B23" s="15">
        <v>4900</v>
      </c>
      <c r="C23" s="16">
        <f>B23/$B$4</f>
        <v>3.5507246376811592</v>
      </c>
      <c r="D23" s="17">
        <f>IFERROR(AVERAGEIF('Cost Detail'!C:C,A23,'Cost Detail'!F:F),0)</f>
        <v>9.0704999999999994E-2</v>
      </c>
      <c r="E23" s="18">
        <f>IFERROR((C23-D23)/C23,0)</f>
        <v>0.97445451020408169</v>
      </c>
    </row>
    <row r="24" spans="1:6" x14ac:dyDescent="0.45">
      <c r="A24" s="6" t="s">
        <v>30</v>
      </c>
      <c r="B24" s="15">
        <v>14900</v>
      </c>
      <c r="C24" s="16">
        <f>B24/$B$4</f>
        <v>10.797101449275363</v>
      </c>
      <c r="D24" s="17">
        <f>IFERROR(AVERAGEIF('Cost Detail'!C:C,A24,'Cost Detail'!F:F),0)</f>
        <v>0</v>
      </c>
      <c r="E24" s="18">
        <f>IFERROR((C24-D24)/C24,0)</f>
        <v>1</v>
      </c>
    </row>
    <row r="25" spans="1:6" x14ac:dyDescent="0.45">
      <c r="A25" s="6" t="s">
        <v>31</v>
      </c>
      <c r="B25" s="15">
        <v>29900</v>
      </c>
      <c r="C25" s="16">
        <f>B25/$B$4</f>
        <v>21.666666666666668</v>
      </c>
      <c r="D25" s="17">
        <f>IFERROR(AVERAGEIF('Cost Detail'!C:C,A25,'Cost Detail'!F:F),0)</f>
        <v>0.45601800000000003</v>
      </c>
      <c r="E25" s="18">
        <f>IFERROR((C25-D25)/C25,0)</f>
        <v>0.97895301538461532</v>
      </c>
    </row>
    <row r="28" spans="1:6" x14ac:dyDescent="0.45">
      <c r="A28" s="2" t="s">
        <v>32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7" x14ac:dyDescent="0.45"/>
  <cols>
    <col min="1" max="2" width="12" customWidth="1"/>
    <col min="3" max="4" width="10" customWidth="1"/>
    <col min="5" max="5" width="12" customWidth="1"/>
    <col min="6" max="6" width="14" customWidth="1"/>
    <col min="7" max="7" width="30" customWidth="1"/>
  </cols>
  <sheetData>
    <row r="1" spans="1:7" ht="18.5" x14ac:dyDescent="0.45">
      <c r="A1" s="1" t="s">
        <v>33</v>
      </c>
    </row>
    <row r="3" spans="1:7" x14ac:dyDescent="0.45">
      <c r="A3" s="3" t="s">
        <v>34</v>
      </c>
      <c r="B3" s="19">
        <v>3</v>
      </c>
      <c r="C3" s="2" t="s">
        <v>35</v>
      </c>
    </row>
    <row r="5" spans="1:7" x14ac:dyDescent="0.45">
      <c r="A5" s="14" t="s">
        <v>36</v>
      </c>
      <c r="B5" s="14" t="s">
        <v>37</v>
      </c>
      <c r="C5" s="14" t="s">
        <v>24</v>
      </c>
      <c r="D5" s="14" t="s">
        <v>38</v>
      </c>
      <c r="E5" s="14" t="s">
        <v>39</v>
      </c>
      <c r="F5" s="14" t="s">
        <v>40</v>
      </c>
      <c r="G5" s="14" t="s">
        <v>41</v>
      </c>
    </row>
    <row r="6" spans="1:7" x14ac:dyDescent="0.45">
      <c r="A6" s="6" t="s">
        <v>42</v>
      </c>
      <c r="B6" s="6" t="s">
        <v>43</v>
      </c>
      <c r="C6" s="6" t="s">
        <v>29</v>
      </c>
      <c r="D6" s="6" t="s">
        <v>44</v>
      </c>
      <c r="E6" s="20">
        <v>26857</v>
      </c>
      <c r="F6" s="16">
        <f>E6/1000000*$B$3</f>
        <v>8.0571000000000004E-2</v>
      </c>
      <c r="G6" s="21">
        <v>0</v>
      </c>
    </row>
    <row r="7" spans="1:7" x14ac:dyDescent="0.45">
      <c r="A7" s="6" t="s">
        <v>45</v>
      </c>
      <c r="B7" s="6" t="s">
        <v>43</v>
      </c>
      <c r="C7" s="6" t="s">
        <v>29</v>
      </c>
      <c r="D7" s="6" t="s">
        <v>44</v>
      </c>
      <c r="E7" s="20">
        <v>28161</v>
      </c>
      <c r="F7" s="16">
        <f>E7/1000000*$B$3</f>
        <v>8.4483000000000003E-2</v>
      </c>
      <c r="G7" s="21">
        <v>0</v>
      </c>
    </row>
    <row r="8" spans="1:7" x14ac:dyDescent="0.45">
      <c r="A8" s="6" t="s">
        <v>46</v>
      </c>
      <c r="B8" s="6" t="s">
        <v>43</v>
      </c>
      <c r="C8" s="6" t="s">
        <v>29</v>
      </c>
      <c r="D8" s="6" t="s">
        <v>44</v>
      </c>
      <c r="E8" s="20">
        <v>35687</v>
      </c>
      <c r="F8" s="16">
        <f>E8/1000000*$B$3</f>
        <v>0.10706100000000002</v>
      </c>
      <c r="G8" s="21">
        <v>0</v>
      </c>
    </row>
    <row r="9" spans="1:7" x14ac:dyDescent="0.45">
      <c r="A9" s="6" t="s">
        <v>47</v>
      </c>
      <c r="B9" s="6" t="s">
        <v>48</v>
      </c>
      <c r="C9" s="6" t="s">
        <v>31</v>
      </c>
      <c r="D9" s="6" t="s">
        <v>44</v>
      </c>
      <c r="E9" s="20">
        <v>152006</v>
      </c>
      <c r="F9" s="16">
        <f>E9/1000000*$B$3</f>
        <v>0.45601800000000003</v>
      </c>
      <c r="G9" s="21">
        <v>0</v>
      </c>
    </row>
    <row r="10" spans="1:7" x14ac:dyDescent="0.45">
      <c r="D10" s="3" t="s">
        <v>49</v>
      </c>
      <c r="E10" s="22">
        <f>SUM(E6:E9)</f>
        <v>242711</v>
      </c>
      <c r="F10" s="23">
        <f>SUM(F6:F9)</f>
        <v>0.72813300000000003</v>
      </c>
      <c r="G10" s="23">
        <f>SUM(G6:G9)</f>
        <v>0</v>
      </c>
    </row>
    <row r="12" spans="1:7" x14ac:dyDescent="0.45">
      <c r="A12" s="2" t="s">
        <v>50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P&amp;L</vt:lpstr>
      <vt:lpstr>Cost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박승혁</cp:lastModifiedBy>
  <dcterms:created xsi:type="dcterms:W3CDTF">2026-08-12T02:36:33Z</dcterms:created>
  <dcterms:modified xsi:type="dcterms:W3CDTF">2026-08-12T02:36:35Z</dcterms:modified>
</cp:coreProperties>
</file>